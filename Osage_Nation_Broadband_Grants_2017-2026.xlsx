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amualcurtis/Library/Mobile Documents/com~apple~CloudDocs/OSAGE NATION/"/>
    </mc:Choice>
  </mc:AlternateContent>
  <xr:revisionPtr revIDLastSave="0" documentId="8_{1115FB31-AC57-4440-BB3D-85C3B3B8B8AB}" xr6:coauthVersionLast="47" xr6:coauthVersionMax="47" xr10:uidLastSave="{00000000-0000-0000-0000-000000000000}"/>
  <bookViews>
    <workbookView xWindow="0" yWindow="660" windowWidth="25660" windowHeight="16900" tabRatio="500" xr2:uid="{00000000-000D-0000-FFFF-FFFF00000000}"/>
  </bookViews>
  <sheets>
    <sheet name="Agency Summary" sheetId="1" r:id="rId1"/>
    <sheet name="Grant Summary" sheetId="2" r:id="rId2"/>
    <sheet name="Timeline &amp; Milestones" sheetId="3" r:id="rId3"/>
    <sheet name="Sources &amp; Referenc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B27" i="1" s="1"/>
  <c r="C27" i="1" s="1"/>
  <c r="E19" i="2"/>
  <c r="E12" i="2"/>
  <c r="E26" i="2" s="1"/>
  <c r="B26" i="1"/>
  <c r="E15" i="1"/>
  <c r="E20" i="1" s="1"/>
  <c r="B29" i="1" s="1"/>
  <c r="D15" i="1"/>
  <c r="D20" i="1" s="1"/>
  <c r="F13" i="1"/>
  <c r="F12" i="1"/>
  <c r="F15" i="1" s="1"/>
  <c r="E9" i="1"/>
  <c r="D9" i="1"/>
  <c r="C9" i="1"/>
  <c r="F7" i="1"/>
  <c r="F6" i="1"/>
  <c r="F9" i="1" s="1"/>
  <c r="F20" i="1" l="1"/>
  <c r="B25" i="1"/>
  <c r="C25" i="1" l="1"/>
  <c r="B28" i="1"/>
  <c r="B30" i="1" l="1"/>
  <c r="C26" i="1"/>
</calcChain>
</file>

<file path=xl/sharedStrings.xml><?xml version="1.0" encoding="utf-8"?>
<sst xmlns="http://schemas.openxmlformats.org/spreadsheetml/2006/main" count="357" uniqueCount="301">
  <si>
    <t>Broadband Funding Summary by Agency – Osage Nation / Osage County (2017–2026)</t>
  </si>
  <si>
    <t>Aggregated from Grant Summary tab  |  Amounts reflect publicly reported award values</t>
  </si>
  <si>
    <t>Agency / Funding Source</t>
  </si>
  <si>
    <t>Program(s)</t>
  </si>
  <si>
    <t># of Awards</t>
  </si>
  <si>
    <t>Total Grant Amount</t>
  </si>
  <si>
    <t>ISP Match / Co-Investment</t>
  </si>
  <si>
    <t>Total Investment</t>
  </si>
  <si>
    <t>Locations Served</t>
  </si>
  <si>
    <t>Notes</t>
  </si>
  <si>
    <t>FEDERAL AGENCIES</t>
  </si>
  <si>
    <t>USDA – Rural Utilities Service</t>
  </si>
  <si>
    <t>Community Connect Grants (Grayhorse &amp; Bowring); ReConnect Grant (Rounds 2 &amp; 3)</t>
  </si>
  <si>
    <t>~1,860+ (Grayhorse + Bowring 161 + ReConnect 977 + Cimarron 746)</t>
  </si>
  <si>
    <t>Community Connect Grayhorse ($3M + $450K match, 2017) + Community Connect Bowring ($2.7M, 2018) + ReConnect Osage ($13.9M) + ReConnect Cimarron ($5.4M, third-party ISP).</t>
  </si>
  <si>
    <t>NTIA – Dept. of Commerce</t>
  </si>
  <si>
    <t>Tribal Broadband Connectivity Program (Round 1)</t>
  </si>
  <si>
    <t>—</t>
  </si>
  <si>
    <t>3,158 unserved households</t>
  </si>
  <si>
    <t>Largest single tribal broadband grant. Cornerstone of Wahzhazhe Connect. 167-mi fiber + 16 towers.</t>
  </si>
  <si>
    <t>U.S. Treasury – CARES Act</t>
  </si>
  <si>
    <t>Coronavirus Relief Fund (via Osage Nation allocation)</t>
  </si>
  <si>
    <t>See Notes</t>
  </si>
  <si>
    <t>Community-wide (Pawhuska)</t>
  </si>
  <si>
    <t>Funded municipal Wi-Fi in Pawhuska. Broadband-specific amount not broken out from total CARES disbursement.</t>
  </si>
  <si>
    <t>Federal Subtotal</t>
  </si>
  <si>
    <t>OKLAHOMA STATE AGENCY</t>
  </si>
  <si>
    <t>Oklahoma Broadband Office – ARPA SLFRF</t>
  </si>
  <si>
    <t>American Rescue Plan Act – State &amp; Local Fiscal Recovery Funds</t>
  </si>
  <si>
    <t>2,560+ (251 IEC + 480 AT&amp;T + 1,829 Dobson)</t>
  </si>
  <si>
    <t>Indian Electric Coop ($6.4M, Osage Co.), AT&amp;T ($3.9M, Osage Co.), Dobson Fiber ($11.6M, multi-county overlap). $374M total SLFRF program statewide.</t>
  </si>
  <si>
    <t>Oklahoma Broadband Office – ARPA CPF</t>
  </si>
  <si>
    <t>American Rescue Plan Act – Capital Projects Fund</t>
  </si>
  <si>
    <t>2,135 (4-county total)</t>
  </si>
  <si>
    <t>Atlas Broadband: $34.2M total ($17.1M grant + $17.1M match) across Rogers, Osage, Nowata &amp; Tulsa counties. Osage share not itemized.</t>
  </si>
  <si>
    <t>Oklahoma Broadband Office – BEAD</t>
  </si>
  <si>
    <t>Broadband Equity, Access &amp; Deployment Program (via NTIA)</t>
  </si>
  <si>
    <t>TBD</t>
  </si>
  <si>
    <t>Pending</t>
  </si>
  <si>
    <t>$797.4M statewide allocation. Final Proposal submitted 9/4/2025, under NTIA review. Osage County eligible; tribal consent in process. Subgrant amounts TBD.</t>
  </si>
  <si>
    <t>Oklahoma Broadband Office Subtotal</t>
  </si>
  <si>
    <t>TRIBAL INTERNAL FUNDING</t>
  </si>
  <si>
    <t>Osage Nation Congress</t>
  </si>
  <si>
    <t>Broadband Feasibility Study Appropriation</t>
  </si>
  <si>
    <t>Undisclosed</t>
  </si>
  <si>
    <t>N/A – Planning</t>
  </si>
  <si>
    <t>County-wide feasibility study by ACRS, commissioned by ONUA (~2018-2019). Foundation for all subsequent federal and state grant applications.</t>
  </si>
  <si>
    <t>GRAND TOTAL – ALL AGENCIES</t>
  </si>
  <si>
    <t>Funding Mix Breakdown</t>
  </si>
  <si>
    <t>Category</t>
  </si>
  <si>
    <t>Amount</t>
  </si>
  <si>
    <t>% of Total Grant $</t>
  </si>
  <si>
    <t>Detail</t>
  </si>
  <si>
    <t>Grants awarded directly to Osage Nation</t>
  </si>
  <si>
    <t>Community Connect (Grayhorse + Bowring) + NTIA TBCP + USDA ReConnect</t>
  </si>
  <si>
    <t>OBO grants serving Osage County</t>
  </si>
  <si>
    <t>ARPA SLFRF (IEC + AT&amp;T) + ARPA CPF (Atlas Broadband)</t>
  </si>
  <si>
    <t>Third-party ISP grants in Osage County</t>
  </si>
  <si>
    <t>Cimarron Telephone + Dobson Fiber</t>
  </si>
  <si>
    <t>Total quantified grant funding</t>
  </si>
  <si>
    <t>Excludes CARES Act Wi-Fi, feasibility study, and pending BEAD</t>
  </si>
  <si>
    <t>Private ISP match / co-investment</t>
  </si>
  <si>
    <t>Atlas ($17.1M) + Dobson ($5.7M) + Osage Nation Congress ($450K Grayhorse match)</t>
  </si>
  <si>
    <t>Total public + private investment</t>
  </si>
  <si>
    <t>Grant funding plus ISP match contributions</t>
  </si>
  <si>
    <t>Pending &amp; Pipeline Funding</t>
  </si>
  <si>
    <t>Program</t>
  </si>
  <si>
    <t>Statewide Allocation</t>
  </si>
  <si>
    <t>Osage Status</t>
  </si>
  <si>
    <t>Expected Timeline</t>
  </si>
  <si>
    <t>BEAD (via Oklahoma Broadband Office)</t>
  </si>
  <si>
    <t>Final Proposal under NTIA review. Tribal consent in process. Osage County eligible for subgrants.</t>
  </si>
  <si>
    <t>Subgrant awards expected late 2026</t>
  </si>
  <si>
    <t>ARPA CPF – Additional Rounds</t>
  </si>
  <si>
    <t>OBO may issue additional CPF rounds. Osage County eligible.</t>
  </si>
  <si>
    <t>Ongoing through 2026</t>
  </si>
  <si>
    <t>NTIA TBCP Round 2</t>
  </si>
  <si>
    <t>Osage Nation may be eligible for supplemental tribal broadband funding.</t>
  </si>
  <si>
    <t>Awards pending</t>
  </si>
  <si>
    <t>Broadband Grants &amp; Allocations – Osage Nation / Osage County (2017–2026)</t>
  </si>
  <si>
    <t>Prepared for Osage Nation leadership  |  Includes federal, state (Oklahoma Broadband Office), and tribal funding sources</t>
  </si>
  <si>
    <t>Grant #</t>
  </si>
  <si>
    <t>Grant Program</t>
  </si>
  <si>
    <t>Funding Agency / Source</t>
  </si>
  <si>
    <t>Award Date</t>
  </si>
  <si>
    <t>Grant Amount</t>
  </si>
  <si>
    <t>Project Name / Description</t>
  </si>
  <si>
    <t>Service Area</t>
  </si>
  <si>
    <t>Households / Endpoints Served</t>
  </si>
  <si>
    <t>Infrastructure Type</t>
  </si>
  <si>
    <t>Status / Notes</t>
  </si>
  <si>
    <t>SECTION A: Federal Grants Awarded Directly to Osage Nation</t>
  </si>
  <si>
    <t>USDA Community Connect Grant – Grayhorse</t>
  </si>
  <si>
    <t>April 2017</t>
  </si>
  <si>
    <t>Grayhorse Broadband Deployment – Established Osage Nation-owned broadband company (OIS) to deliver high-speed internet to Grayhorse community. $450K Osage Nation Congress match.</t>
  </si>
  <si>
    <t>Grayhorse community, Osage Reservation</t>
  </si>
  <si>
    <t>Grayhorse households &amp; businesses</t>
  </si>
  <si>
    <t>Fiber-to-the-premises; new Osage Nation-owned broadband enterprise</t>
  </si>
  <si>
    <t>Completed. Operated by OIS / AtLink partnership (contract signed 3/10/2022).</t>
  </si>
  <si>
    <t>USDA Community Connect Grant – Bowring</t>
  </si>
  <si>
    <t>August 2018</t>
  </si>
  <si>
    <t>Hybrid fiber-to-the-premises &amp; fixed wireless system for Bowring community – Awarded to Osage Innovative Solutions (OIS). Serves unserved, economically depressed portion of Osage Nation. Includes free community center internet access.</t>
  </si>
  <si>
    <t>Bowring area (~25 mi. NE of Pawhuska), Osage County</t>
  </si>
  <si>
    <t>139 households, 22 businesses</t>
  </si>
  <si>
    <t>Hybrid FTTP + fixed wireless</t>
  </si>
  <si>
    <t>Completed. Part of USDA $97M rural broadband investment (11 states).</t>
  </si>
  <si>
    <t>Osage Nation Broadband Feasibility Study</t>
  </si>
  <si>
    <t>Osage Nation Congress (Internal)</t>
  </si>
  <si>
    <t>~2018–2019</t>
  </si>
  <si>
    <t>County-wide broadband feasibility study by ACRS (Oklahoma City), commissioned by ONUA. Foundation for all subsequent federal grant applications.</t>
  </si>
  <si>
    <t>Osage County (county-wide assessment)</t>
  </si>
  <si>
    <t>N/A – Planning phase</t>
  </si>
  <si>
    <t>Feasibility study &amp; engineering assessment</t>
  </si>
  <si>
    <t>Completed. Formed basis for Community Connect and NTIA/USDA apps.</t>
  </si>
  <si>
    <t>CARES Act – Municipal Wi-Fi</t>
  </si>
  <si>
    <t>U.S. Treasury (via Osage Nation CARES allocation)</t>
  </si>
  <si>
    <t>2020</t>
  </si>
  <si>
    <t>Municipal Wi-Fi system for Pawhuska – Free public internet for residents and visitors. Joint project with City of Pawhuska.</t>
  </si>
  <si>
    <t>City of Pawhuska, OK</t>
  </si>
  <si>
    <t>Public Wi-Fi – community-wide</t>
  </si>
  <si>
    <t>Municipal Wi-Fi network</t>
  </si>
  <si>
    <t>Completed. Approved by Chief Standing Bear under COVID-19 emergency.</t>
  </si>
  <si>
    <t>NTIA Tribal Broadband Connectivity Program (Round 1)</t>
  </si>
  <si>
    <t>August 16, 2022</t>
  </si>
  <si>
    <t>Osage Nation Broadband Deployment Project (Wahzhazhe Connect) – Fiber &amp; wireless buildout across 12 rural/underserved areas</t>
  </si>
  <si>
    <t>12 key areas, Osage Nation Reservation</t>
  </si>
  <si>
    <t>3,158 unserved Native American households</t>
  </si>
  <si>
    <t>167-mi. fiber; 16 monopole towers (190 ft.); FTTH &amp; fixed wireless</t>
  </si>
  <si>
    <t>Under construction. Groundbreaking 3/4/2024 at Wakon Iron Hall.</t>
  </si>
  <si>
    <t>USDA ReConnect Grant Program (Round 3)</t>
  </si>
  <si>
    <t>August 30, 2022</t>
  </si>
  <si>
    <t>Fiber-to-the-home deployment within Osage Reservation – Symmetrical speeds up to 1 Gbps</t>
  </si>
  <si>
    <t>206+ sq. mi., Osage Reservation</t>
  </si>
  <si>
    <t>831 people, 18 businesses, 128 farms</t>
  </si>
  <si>
    <t>Fiber-to-the-premises (FTTP)</t>
  </si>
  <si>
    <t>Under construction. Part of $54.5M Wahzhazhe Connect effort.</t>
  </si>
  <si>
    <t>Subtotal – Direct Osage Nation Federal Grants</t>
  </si>
  <si>
    <t>SECTION B: Oklahoma Broadband Office (OBO) Awards Serving Osage County</t>
  </si>
  <si>
    <t>ARPA SLFRF – Indian Electric Cooperative</t>
  </si>
  <si>
    <t>Oklahoma Broadband Office (OBO) / ARPA SLFRF</t>
  </si>
  <si>
    <t>January 25, 2024</t>
  </si>
  <si>
    <t>Project ARPA-YY003684 – Fiber broadband deployment in Osage County via Indian Electric Cooperative</t>
  </si>
  <si>
    <t>Osage County, OK</t>
  </si>
  <si>
    <t>251 locations</t>
  </si>
  <si>
    <t>Awarded. Deadline for completion: Oct 2026.</t>
  </si>
  <si>
    <t>ARPA SLFRF – AT&amp;T / Southwestern Bell</t>
  </si>
  <si>
    <t>Project ARPA-YY003232 – Fiber broadband deployment in Osage County via AT&amp;T Services / Southwestern Bell Telephone Co.</t>
  </si>
  <si>
    <t>480 locations</t>
  </si>
  <si>
    <t>ARPA SLFRF &amp; CPF – Atlas Broadband (4-county initiative)</t>
  </si>
  <si>
    <t>Oklahoma Broadband Office (OBO) / ARPA SLFRF + CPF</t>
  </si>
  <si>
    <t>June 2025</t>
  </si>
  <si>
    <t>8 projects across Rogers, Osage, Nowata &amp; Tulsa counties. $34.2M total investment ($17.1M federal + $17.1M Atlas match). Osage County share not publicly itemized.</t>
  </si>
  <si>
    <t>Rogers, Osage, Nowata &amp; Tulsa Counties</t>
  </si>
  <si>
    <t>2,135 homes &amp; businesses (4-county total)</t>
  </si>
  <si>
    <t>Under construction. Launched June 6, 2025. Osage County-specific breakout not published.</t>
  </si>
  <si>
    <t>BEAD Program (Oklahoma allocation – pending)</t>
  </si>
  <si>
    <t>Oklahoma Broadband Office (OBO) / NTIA BEAD</t>
  </si>
  <si>
    <t>TBD (Final Proposal submitted 9/4/2025)</t>
  </si>
  <si>
    <t>Oklahoma received $797.4M total BEAD allocation. Osage County is eligible for subgrants. Tribal consent process underway. Subgrantee selections pending NTIA approval.</t>
  </si>
  <si>
    <t>Statewide (Osage County eligible)</t>
  </si>
  <si>
    <t>TBD – Subgrantee selection in progress</t>
  </si>
  <si>
    <t>Primarily fiber (per state plan)</t>
  </si>
  <si>
    <t>Pending. Final Proposal under NTIA review. Osage Nation tribal consent documentation in process.</t>
  </si>
  <si>
    <t>Subtotal – OBO Awards Serving Osage County</t>
  </si>
  <si>
    <t>SECTION C: Third-Party ISP Grants Serving Osage County (Not Osage Nation-Led)</t>
  </si>
  <si>
    <t>USDA ReConnect – Cimarron Telephone</t>
  </si>
  <si>
    <t>Cimarron Telephone Co. FTTP deployment in Pawnee &amp; Osage counties. Not Osage Nation-led but serves reservation residents.</t>
  </si>
  <si>
    <t>Pawnee &amp; Osage Counties, OK</t>
  </si>
  <si>
    <t>746 people, 107 farms, 3 businesses</t>
  </si>
  <si>
    <t>Completed / In service.</t>
  </si>
  <si>
    <t>ARPA SLFRF – Dobson Fiber (multi-county)</t>
  </si>
  <si>
    <t>January 2024</t>
  </si>
  <si>
    <t>8 Dobson Fiber projects, $17.3M total ($11.6M federal + $5.7M match). Connects 1,829 homes/businesses across multiple OK counties incl. areas adjacent to Osage County.</t>
  </si>
  <si>
    <t>Multiple OK counties (some overlap with Osage County service area)</t>
  </si>
  <si>
    <t>1,829 homes &amp; businesses</t>
  </si>
  <si>
    <t>Under construction. Some projects completed Jan 2026.</t>
  </si>
  <si>
    <t>Subtotal – Third-Party ISP Grants</t>
  </si>
  <si>
    <t>GRAND TOTAL – ALL IDENTIFIED BROADBAND FUNDING</t>
  </si>
  <si>
    <t>NOTES:</t>
  </si>
  <si>
    <t>1. Grant #1 (Grayhorse): $3M USDA Community Connect + $450K Osage Nation Congress match. Operations partnership with AtLink signed March 2022.</t>
  </si>
  <si>
    <t>2. Grant #2 (Bowring): $2.7M USDA Community Connect, awarded August 2018 to OIS. Part of USDA $97M rural broadband investment across 11 states.</t>
  </si>
  <si>
    <t>3. Grant #3 (Feasibility Study) &amp; #4 (CARES Wi-Fi): Funded internally or via CARES block allocation; broadband-specific amounts not publicly itemized.</t>
  </si>
  <si>
    <t>4. Grant #9 (Atlas Broadband): $17.1M is the 4-county total; Osage County's individual share is not publicly broken out. Contact OBO for county-level detail.</t>
  </si>
  <si>
    <t>5. Grant #10 (BEAD): Oklahoma's $797.4M BEAD allocation is statewide. Osage County/Nation subgrant amounts pending final NTIA approval of Oklahoma's proposal.</t>
  </si>
  <si>
    <t>6. Grants #11 (Cimarron) &amp; #12 (Dobson): Awarded to private ISPs, not Osage Nation. Included because they deploy infrastructure within or adjacent to the reservation footprint.</t>
  </si>
  <si>
    <t>7. The Wahzhazhe Connect project (Grants #5 + #6 combined) = ~$54.5M in total federal investment and is the cornerstone broadband initiative for the Osage Nation.</t>
  </si>
  <si>
    <t>8. Osage Nation also participates in FCC's Affordable Connectivity Program (ACP) for subscriber subsidies. ACP is not a capital grant and is not included above.</t>
  </si>
  <si>
    <t>9. ISP match amounts (Column F) reflect private co-investment paired with public grants. Where no match is shown, the grant was 100% federal or match data is unavailable.</t>
  </si>
  <si>
    <t>10. All amounts as publicly reported. Actual disbursements may differ from award amounts based on project modifications.</t>
  </si>
  <si>
    <t>Osage Nation / Osage County Broadband – Key Milestones</t>
  </si>
  <si>
    <t>Year</t>
  </si>
  <si>
    <t>Milestone</t>
  </si>
  <si>
    <t>Funding Source</t>
  </si>
  <si>
    <t>Significance</t>
  </si>
  <si>
    <t>2017</t>
  </si>
  <si>
    <t>USDA Community Connect Grant awarded for Grayhorse broadband ($3M + $450K match)</t>
  </si>
  <si>
    <t>USDA Community Connect</t>
  </si>
  <si>
    <t>First federal broadband grant; established Osage-owned broadband entity (OIS)</t>
  </si>
  <si>
    <t>Aug 2018</t>
  </si>
  <si>
    <t>USDA Community Connect Grant awarded for Bowring broadband ($2.7M)</t>
  </si>
  <si>
    <t>Second Community Connect grant; hybrid fiber + fixed wireless for 139 HH, 22 businesses</t>
  </si>
  <si>
    <t>2018-2019</t>
  </si>
  <si>
    <t>Broadband feasibility study completed (ACRS / ONUA)</t>
  </si>
  <si>
    <t>County-wide engineering assessment; foundation for all future grants</t>
  </si>
  <si>
    <t>CARES Act municipal Wi-Fi deployed in Pawhuska</t>
  </si>
  <si>
    <t>CARES Act (U.S. Treasury)</t>
  </si>
  <si>
    <t>Emergency COVID response; demonstrated broadband need and tribal capacity</t>
  </si>
  <si>
    <t>Cimarron Telephone FTTP grant (Osage/Pawnee County)</t>
  </si>
  <si>
    <t>USDA ReConnect</t>
  </si>
  <si>
    <t>Private carrier deployment serving Osage County residents</t>
  </si>
  <si>
    <t>Aug 2022</t>
  </si>
  <si>
    <t>NTIA TBCP Round 1 – $40.6M awarded to Osage Nation</t>
  </si>
  <si>
    <t>NTIA / Dept. of Commerce</t>
  </si>
  <si>
    <t>Largest single tribal broadband grant; cornerstone of Wahzhazhe Connect</t>
  </si>
  <si>
    <t>USDA ReConnect Round 3 – $13.9M awarded to Osage Nation</t>
  </si>
  <si>
    <t>Complementary FTTP deployment; combined $54.5M with NTIA grant</t>
  </si>
  <si>
    <t>Jan 2024</t>
  </si>
  <si>
    <t>OBO ARPA SLFRF awards: Indian Electric Coop &amp; AT&amp;T for Osage County</t>
  </si>
  <si>
    <t>OK Broadband Office / ARPA</t>
  </si>
  <si>
    <t>State-funded fiber buildout: 731 locations in Osage County</t>
  </si>
  <si>
    <t>Sep 2024</t>
  </si>
  <si>
    <t>OBO ARPA CPF Round 1 – $158M statewide (28 counties incl. Osage)</t>
  </si>
  <si>
    <t>OK Broadband Office / ARPA CPF</t>
  </si>
  <si>
    <t>50 projects to 12 ISPs; Osage County among 28 covered counties</t>
  </si>
  <si>
    <t>Mar 2024</t>
  </si>
  <si>
    <t>Wahzhazhe Connect groundbreaking at Wakon Iron Hall, Pawhuska</t>
  </si>
  <si>
    <t>N/A</t>
  </si>
  <si>
    <t>Construction begins; workforce training with Tri County Tech</t>
  </si>
  <si>
    <t>Jun 2025</t>
  </si>
  <si>
    <t>Atlas Broadband launches 4-county FTTP project (incl. Osage County)</t>
  </si>
  <si>
    <t>$34.2M total with match; 2,135 locations across 4 counties</t>
  </si>
  <si>
    <t>Sep 2025</t>
  </si>
  <si>
    <t>Oklahoma BEAD Final Proposal submitted to NTIA ($797.4M statewide)</t>
  </si>
  <si>
    <t>NTIA BEAD via OBO</t>
  </si>
  <si>
    <t>Osage County eligible; subgrantee selections pending NTIA approval</t>
  </si>
  <si>
    <t>2024-2025</t>
  </si>
  <si>
    <t>Osage Broadband / Wahzhazhe Connect service launch</t>
  </si>
  <si>
    <t>ISP operations begin; free broadband for Osage members 55+</t>
  </si>
  <si>
    <t>2025-2034</t>
  </si>
  <si>
    <t>Projected full buildout: 167 mi. fiber + 16 towers</t>
  </si>
  <si>
    <t>~10-year completion timeline for full reservation coverage</t>
  </si>
  <si>
    <t>Data Sources</t>
  </si>
  <si>
    <t>Source</t>
  </si>
  <si>
    <t>URL</t>
  </si>
  <si>
    <t>USDA Press Release – $97M Rural Broadband (Aug 2018)</t>
  </si>
  <si>
    <t>https://usda.gov/media/press-releases/2018/08/01/usda-invests-97-million-rural-broadband-infrastructure-improve</t>
  </si>
  <si>
    <t>OIS $2.7M Community Connect grant for Bowring area (139 HH, 22 businesses)</t>
  </si>
  <si>
    <t>StateScoop – 11-State Rural Broadband Funding (2018)</t>
  </si>
  <si>
    <t>https://statescoop.com/rural-and-tribal-communities-across-11-states-receive-97-million-in-federal-funds-to-grow-broadband-access/</t>
  </si>
  <si>
    <t>Independent coverage of OIS Bowring grant details</t>
  </si>
  <si>
    <t>Osage News – AtLink Operations Partnership</t>
  </si>
  <si>
    <t>https://osagenews.org/atlink-to-serve-as-broadband-operations-partner/</t>
  </si>
  <si>
    <t>AtLink selected as Grayhorse/Bowring broadband operations partner (March 2022)</t>
  </si>
  <si>
    <t>NTIA BroadbandUSA – TBCP Round 1 Awardee Page</t>
  </si>
  <si>
    <t>https://broadbandusa.ntia.gov/funding-programs/tribal-broadband-connectivity-program-round-1/awardee/osage-nation-broadband-deployment-project</t>
  </si>
  <si>
    <t>Official NTIA award record: $40,679,250</t>
  </si>
  <si>
    <t>Osage Nation News – NTIA Grant Announcement</t>
  </si>
  <si>
    <t>https://www.osagenation-nsn.gov/news-events/news/osage-nation-awarded-406-million-tribal-broadband-connectivity-program-grant</t>
  </si>
  <si>
    <t>Tribal announcement of NTIA TBCP award</t>
  </si>
  <si>
    <t>Osage Nation News – USDA ReConnect Grant</t>
  </si>
  <si>
    <t>https://www.osagenation-nsn.gov/news-events/news/osage-nation-receives-139-million-usda-reconnect-broadband-grant</t>
  </si>
  <si>
    <t>USDA ReConnect $13.9M award details</t>
  </si>
  <si>
    <t>Osage Nation News – Community Connect / Grayhorse</t>
  </si>
  <si>
    <t>https://www.osagenation-nsn.gov/news-events/news/high-speed-internet-coming-osage-reservation</t>
  </si>
  <si>
    <t>2017 Community Connect grant &amp; feasibility study</t>
  </si>
  <si>
    <t>Osage Nation News – Pawhuska Municipal Wi-Fi</t>
  </si>
  <si>
    <t>https://www.osagenation-nsn.gov/news-events/news/osage-nation-and-city-pawhuska-develop-municipal-wi-fi-public-use</t>
  </si>
  <si>
    <t>CARES Act-funded municipal Wi-Fi</t>
  </si>
  <si>
    <t>Osage Nation News – Wahzhazhe Connect Groundbreaking</t>
  </si>
  <si>
    <t>https://www.osagenation-nsn.gov/news-events/news/wahzhazhe-connect-breaks-ground-broadband-construction-project</t>
  </si>
  <si>
    <t>March 2024 construction start</t>
  </si>
  <si>
    <t>Oklahoma Broadband Office – ARPA SLFRF Program</t>
  </si>
  <si>
    <t>https://oklahoma.gov/broadband/grant-programs/arpa-slfrf.html</t>
  </si>
  <si>
    <t>142 projects, 57 counties, $374M statewide</t>
  </si>
  <si>
    <t>OBO – ARPA SLFRF Approved Projects List (CSV)</t>
  </si>
  <si>
    <t>https://oklahoma.gov/content/dam/ok/en/broadband/documents/grant-programs/arpa-slfrf-ii/ARPA-SLFRF-approved-projects.csv</t>
  </si>
  <si>
    <t>Project-level data: Indian Electric Coop ($6.4M) &amp; AT&amp;T ($3.9M) in Osage County</t>
  </si>
  <si>
    <t>OBO – ARPA Capital Projects Fund Program</t>
  </si>
  <si>
    <t>https://oklahoma.gov/broadband/grant-programs/capital-projects-fund.html</t>
  </si>
  <si>
    <t>CPF rounds 1-3 award summaries</t>
  </si>
  <si>
    <t>OBO – Atlas Broadband 4-County Launch</t>
  </si>
  <si>
    <t>https://oklahoma.gov/broadband/office/newsroom/oklahoma-broadband-office--atlas-broadband-launch-broadband-expa.html</t>
  </si>
  <si>
    <t>$34.2M across Rogers, Osage, Nowata &amp; Tulsa counties</t>
  </si>
  <si>
    <t>OBO – Broadband Expansion Grants Approved (Sep 2024)</t>
  </si>
  <si>
    <t>https://oklahoma.gov/broadband/office/newsroom/broadband-expansion-grants-approved.html</t>
  </si>
  <si>
    <t>$158M+ in CPF grants, 28 counties incl. Osage</t>
  </si>
  <si>
    <t>OBO – BEAD Program Page</t>
  </si>
  <si>
    <t>https://oklahoma.gov/broadband/grant-programs/broadband-equity-access-and-deployment-program-.html</t>
  </si>
  <si>
    <t>$797.4M statewide BEAD allocation; Final Proposal submitted 9/4/2025</t>
  </si>
  <si>
    <t>OBO – Dobson Fiber Rural Expansion</t>
  </si>
  <si>
    <t>https://www.dobson.net/news/oklahoma-broadband-office-high-speed-internet-expansion-in-rural-oklahoma</t>
  </si>
  <si>
    <t>$17.3M Dobson Fiber projects ($11.6M federal + $5.7M match)</t>
  </si>
  <si>
    <t>USDA ReConnect FY2022 Awardees</t>
  </si>
  <si>
    <t>https://www.usda.gov/reconnect/round-three-awardees</t>
  </si>
  <si>
    <t>Official USDA award list: Osage Nation &amp; Cimarron Telephone</t>
  </si>
  <si>
    <t>Tribal Business News – Tracking Tribal Broadband: Osage</t>
  </si>
  <si>
    <t>https://tribalbusinessnews.com/sections/economic-development/14203-tracking-tribal-broadband-osage-nation</t>
  </si>
  <si>
    <t>Independent reporting on Osage broadband timeline</t>
  </si>
  <si>
    <t>NonDoc – State Broadband Board Awards First ARPA Projects</t>
  </si>
  <si>
    <t>https://nondoc.com/2024/01/25/state-broadband-board-awards-first-high-speed-internet-arpa-projects/</t>
  </si>
  <si>
    <t>142 projects, 31 ISPs, $374M ARPA SLFRF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</si>
</sst>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2F549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color rgb="FF2F5496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0" fillId="0" borderId="0" xfId="0" applyFont="1"/>
    <xf numFmtId="0" fontId="9" fillId="0" borderId="0" xfId="0" applyFont="1"/>
    <xf numFmtId="0" fontId="4" fillId="3" borderId="1" xfId="0" applyFont="1" applyFill="1" applyBorder="1" applyAlignment="1">
      <alignment horizontal="left" vertical="center"/>
    </xf>
    <xf numFmtId="0" fontId="8" fillId="0" borderId="0" xfId="0" applyFont="1"/>
    <xf numFmtId="0" fontId="7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4" fillId="3" borderId="1" xfId="0" applyFont="1" applyFill="1" applyBorder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0" fontId="6" fillId="0" borderId="1" xfId="0" applyFont="1" applyBorder="1"/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164" fontId="7" fillId="5" borderId="1" xfId="0" applyNumberFormat="1" applyFont="1" applyFill="1" applyBorder="1"/>
    <xf numFmtId="165" fontId="6" fillId="0" borderId="1" xfId="0" applyNumberFormat="1" applyFont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5" fillId="5" borderId="1" xfId="0" applyFont="1" applyFill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4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zoomScaleNormal="100" workbookViewId="0">
      <selection sqref="A1:H1"/>
    </sheetView>
  </sheetViews>
  <sheetFormatPr baseColWidth="10" defaultColWidth="8.6640625" defaultRowHeight="15" customHeight="1" x14ac:dyDescent="0.2"/>
  <cols>
    <col min="1" max="1" width="30" customWidth="1"/>
    <col min="2" max="2" width="38" customWidth="1"/>
    <col min="3" max="3" width="12" customWidth="1"/>
    <col min="4" max="7" width="18" customWidth="1"/>
    <col min="8" max="8" width="42" customWidth="1"/>
  </cols>
  <sheetData>
    <row r="1" spans="1:8" ht="30" customHeight="1" x14ac:dyDescent="0.2">
      <c r="A1" s="10" t="s">
        <v>0</v>
      </c>
      <c r="B1" s="10"/>
      <c r="C1" s="10"/>
      <c r="D1" s="10"/>
      <c r="E1" s="10"/>
      <c r="F1" s="10"/>
      <c r="G1" s="10"/>
      <c r="H1" s="10"/>
    </row>
    <row r="2" spans="1:8" ht="19.5" customHeight="1" x14ac:dyDescent="0.2">
      <c r="A2" s="9" t="s">
        <v>1</v>
      </c>
      <c r="B2" s="9"/>
      <c r="C2" s="9"/>
      <c r="D2" s="9"/>
      <c r="E2" s="9"/>
      <c r="F2" s="9"/>
      <c r="G2" s="9"/>
      <c r="H2" s="9"/>
    </row>
    <row r="4" spans="1:8" ht="36" customHeight="1" x14ac:dyDescent="0.2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</row>
    <row r="5" spans="1:8" ht="21.75" customHeight="1" x14ac:dyDescent="0.2">
      <c r="A5" s="8" t="s">
        <v>10</v>
      </c>
      <c r="B5" s="8"/>
      <c r="C5" s="8"/>
      <c r="D5" s="8"/>
      <c r="E5" s="8"/>
      <c r="F5" s="8"/>
      <c r="G5" s="8"/>
      <c r="H5" s="8"/>
    </row>
    <row r="6" spans="1:8" ht="54.75" customHeight="1" x14ac:dyDescent="0.2">
      <c r="A6" s="12" t="s">
        <v>11</v>
      </c>
      <c r="B6" s="13" t="s">
        <v>12</v>
      </c>
      <c r="C6" s="14">
        <v>4</v>
      </c>
      <c r="D6" s="15">
        <v>25000000</v>
      </c>
      <c r="E6" s="16">
        <v>450000</v>
      </c>
      <c r="F6" s="15">
        <f>D6+E6</f>
        <v>25450000</v>
      </c>
      <c r="G6" s="13" t="s">
        <v>13</v>
      </c>
      <c r="H6" s="13" t="s">
        <v>14</v>
      </c>
    </row>
    <row r="7" spans="1:8" ht="54.75" customHeight="1" x14ac:dyDescent="0.2">
      <c r="A7" s="12" t="s">
        <v>15</v>
      </c>
      <c r="B7" s="13" t="s">
        <v>16</v>
      </c>
      <c r="C7" s="14">
        <v>1</v>
      </c>
      <c r="D7" s="15">
        <v>40679250</v>
      </c>
      <c r="E7" s="17" t="s">
        <v>17</v>
      </c>
      <c r="F7" s="15">
        <f>D7</f>
        <v>40679250</v>
      </c>
      <c r="G7" s="13" t="s">
        <v>18</v>
      </c>
      <c r="H7" s="13" t="s">
        <v>19</v>
      </c>
    </row>
    <row r="8" spans="1:8" ht="54.75" customHeight="1" x14ac:dyDescent="0.2">
      <c r="A8" s="12" t="s">
        <v>20</v>
      </c>
      <c r="B8" s="13" t="s">
        <v>21</v>
      </c>
      <c r="C8" s="14">
        <v>1</v>
      </c>
      <c r="D8" s="18" t="s">
        <v>22</v>
      </c>
      <c r="E8" s="17" t="s">
        <v>17</v>
      </c>
      <c r="F8" s="18" t="s">
        <v>17</v>
      </c>
      <c r="G8" s="13" t="s">
        <v>23</v>
      </c>
      <c r="H8" s="13" t="s">
        <v>24</v>
      </c>
    </row>
    <row r="9" spans="1:8" ht="24" customHeight="1" x14ac:dyDescent="0.2">
      <c r="A9" s="7" t="s">
        <v>25</v>
      </c>
      <c r="B9" s="7"/>
      <c r="C9" s="19">
        <f>SUM(C6:C8)</f>
        <v>6</v>
      </c>
      <c r="D9" s="20">
        <f>SUM(D6:D8)</f>
        <v>65679250</v>
      </c>
      <c r="E9" s="20">
        <f>SUM(E6:E8)</f>
        <v>450000</v>
      </c>
      <c r="F9" s="20">
        <f>SUM(F6:F8)</f>
        <v>66129250</v>
      </c>
      <c r="G9" s="21"/>
      <c r="H9" s="21"/>
    </row>
    <row r="11" spans="1:8" ht="21.75" customHeight="1" x14ac:dyDescent="0.2">
      <c r="A11" s="8" t="s">
        <v>26</v>
      </c>
      <c r="B11" s="8"/>
      <c r="C11" s="8"/>
      <c r="D11" s="8"/>
      <c r="E11" s="8"/>
      <c r="F11" s="8"/>
      <c r="G11" s="8"/>
      <c r="H11" s="8"/>
    </row>
    <row r="12" spans="1:8" ht="54.75" customHeight="1" x14ac:dyDescent="0.2">
      <c r="A12" s="12" t="s">
        <v>27</v>
      </c>
      <c r="B12" s="13" t="s">
        <v>28</v>
      </c>
      <c r="C12" s="14">
        <v>3</v>
      </c>
      <c r="D12" s="15">
        <v>21942886</v>
      </c>
      <c r="E12" s="16">
        <v>5700000</v>
      </c>
      <c r="F12" s="15">
        <f>D12+E12</f>
        <v>27642886</v>
      </c>
      <c r="G12" s="13" t="s">
        <v>29</v>
      </c>
      <c r="H12" s="13" t="s">
        <v>30</v>
      </c>
    </row>
    <row r="13" spans="1:8" ht="54.75" customHeight="1" x14ac:dyDescent="0.2">
      <c r="A13" s="12" t="s">
        <v>31</v>
      </c>
      <c r="B13" s="13" t="s">
        <v>32</v>
      </c>
      <c r="C13" s="14">
        <v>1</v>
      </c>
      <c r="D13" s="15">
        <v>17100000</v>
      </c>
      <c r="E13" s="16">
        <v>17100000</v>
      </c>
      <c r="F13" s="15">
        <f>D13+E13</f>
        <v>34200000</v>
      </c>
      <c r="G13" s="13" t="s">
        <v>33</v>
      </c>
      <c r="H13" s="13" t="s">
        <v>34</v>
      </c>
    </row>
    <row r="14" spans="1:8" ht="54.75" customHeight="1" x14ac:dyDescent="0.2">
      <c r="A14" s="12" t="s">
        <v>35</v>
      </c>
      <c r="B14" s="13" t="s">
        <v>36</v>
      </c>
      <c r="C14" s="14" t="s">
        <v>37</v>
      </c>
      <c r="D14" s="18" t="s">
        <v>38</v>
      </c>
      <c r="E14" s="17" t="s">
        <v>17</v>
      </c>
      <c r="F14" s="18" t="s">
        <v>37</v>
      </c>
      <c r="G14" s="13" t="s">
        <v>37</v>
      </c>
      <c r="H14" s="13" t="s">
        <v>39</v>
      </c>
    </row>
    <row r="15" spans="1:8" ht="24" customHeight="1" x14ac:dyDescent="0.2">
      <c r="A15" s="7" t="s">
        <v>40</v>
      </c>
      <c r="B15" s="7"/>
      <c r="C15" s="21"/>
      <c r="D15" s="20">
        <f>SUM(D12:D14)</f>
        <v>39042886</v>
      </c>
      <c r="E15" s="20">
        <f>SUM(E12:E14)</f>
        <v>22800000</v>
      </c>
      <c r="F15" s="20">
        <f>SUM(F12:F14)</f>
        <v>61842886</v>
      </c>
      <c r="G15" s="21"/>
      <c r="H15" s="21"/>
    </row>
    <row r="17" spans="1:8" ht="21.75" customHeight="1" x14ac:dyDescent="0.2">
      <c r="A17" s="8" t="s">
        <v>41</v>
      </c>
      <c r="B17" s="8"/>
      <c r="C17" s="8"/>
      <c r="D17" s="8"/>
      <c r="E17" s="8"/>
      <c r="F17" s="8"/>
      <c r="G17" s="8"/>
      <c r="H17" s="8"/>
    </row>
    <row r="18" spans="1:8" ht="54.75" customHeight="1" x14ac:dyDescent="0.2">
      <c r="A18" s="12" t="s">
        <v>42</v>
      </c>
      <c r="B18" s="13" t="s">
        <v>43</v>
      </c>
      <c r="C18" s="14">
        <v>1</v>
      </c>
      <c r="D18" s="18" t="s">
        <v>44</v>
      </c>
      <c r="E18" s="17" t="s">
        <v>17</v>
      </c>
      <c r="F18" s="18" t="s">
        <v>17</v>
      </c>
      <c r="G18" s="13" t="s">
        <v>45</v>
      </c>
      <c r="H18" s="13" t="s">
        <v>46</v>
      </c>
    </row>
    <row r="20" spans="1:8" ht="27.75" customHeight="1" x14ac:dyDescent="0.2">
      <c r="A20" s="6" t="s">
        <v>47</v>
      </c>
      <c r="B20" s="6"/>
      <c r="C20" s="22"/>
      <c r="D20" s="23">
        <f>D9+D15</f>
        <v>104722136</v>
      </c>
      <c r="E20" s="23">
        <f>E9+E15</f>
        <v>23250000</v>
      </c>
      <c r="F20" s="23">
        <f>F9+F15</f>
        <v>127972136</v>
      </c>
      <c r="G20" s="22"/>
      <c r="H20" s="22"/>
    </row>
    <row r="23" spans="1:8" ht="25.5" customHeight="1" x14ac:dyDescent="0.2">
      <c r="A23" s="5" t="s">
        <v>48</v>
      </c>
      <c r="B23" s="5"/>
      <c r="C23" s="5"/>
      <c r="D23" s="5"/>
    </row>
    <row r="24" spans="1:8" ht="30" x14ac:dyDescent="0.2">
      <c r="A24" s="11" t="s">
        <v>49</v>
      </c>
      <c r="B24" s="11" t="s">
        <v>50</v>
      </c>
      <c r="C24" s="11" t="s">
        <v>51</v>
      </c>
      <c r="D24" s="11" t="s">
        <v>52</v>
      </c>
    </row>
    <row r="25" spans="1:8" ht="27.75" customHeight="1" x14ac:dyDescent="0.2">
      <c r="A25" s="18" t="s">
        <v>53</v>
      </c>
      <c r="B25" s="15">
        <f>'Grant Summary'!E12</f>
        <v>60279250</v>
      </c>
      <c r="C25" s="24">
        <f>B25/B29</f>
        <v>2.5926559139784948</v>
      </c>
      <c r="D25" s="13" t="s">
        <v>54</v>
      </c>
    </row>
    <row r="26" spans="1:8" ht="27.75" customHeight="1" x14ac:dyDescent="0.2">
      <c r="A26" s="18" t="s">
        <v>55</v>
      </c>
      <c r="B26" s="15">
        <f>'Grant Summary'!E19</f>
        <v>27442886</v>
      </c>
      <c r="C26" s="24">
        <f>B26/B28</f>
        <v>0.26205429957998566</v>
      </c>
      <c r="D26" s="13" t="s">
        <v>56</v>
      </c>
    </row>
    <row r="27" spans="1:8" ht="27.75" customHeight="1" x14ac:dyDescent="0.2">
      <c r="A27" s="18" t="s">
        <v>57</v>
      </c>
      <c r="B27" s="15">
        <f>'Grant Summary'!E24</f>
        <v>17000000</v>
      </c>
      <c r="C27" s="24">
        <f>B27/B27</f>
        <v>1</v>
      </c>
      <c r="D27" s="13" t="s">
        <v>58</v>
      </c>
    </row>
    <row r="28" spans="1:8" ht="27.75" customHeight="1" x14ac:dyDescent="0.2">
      <c r="A28" s="25" t="s">
        <v>59</v>
      </c>
      <c r="B28" s="26">
        <f>SUM(B25:B27)</f>
        <v>104722136</v>
      </c>
      <c r="C28" s="25"/>
      <c r="D28" s="27" t="s">
        <v>60</v>
      </c>
    </row>
    <row r="29" spans="1:8" ht="27.75" customHeight="1" x14ac:dyDescent="0.2">
      <c r="A29" s="18" t="s">
        <v>61</v>
      </c>
      <c r="B29" s="15">
        <f>E20</f>
        <v>23250000</v>
      </c>
      <c r="C29" s="18"/>
      <c r="D29" s="13" t="s">
        <v>62</v>
      </c>
    </row>
    <row r="30" spans="1:8" ht="27.75" customHeight="1" x14ac:dyDescent="0.2">
      <c r="A30" s="25" t="s">
        <v>63</v>
      </c>
      <c r="B30" s="26">
        <f>B28+B29</f>
        <v>127972136</v>
      </c>
      <c r="C30" s="25"/>
      <c r="D30" s="27" t="s">
        <v>64</v>
      </c>
    </row>
    <row r="33" spans="1:4" ht="25.5" customHeight="1" x14ac:dyDescent="0.2">
      <c r="A33" s="5" t="s">
        <v>65</v>
      </c>
      <c r="B33" s="5"/>
      <c r="C33" s="5"/>
      <c r="D33" s="5"/>
    </row>
    <row r="34" spans="1:4" ht="30" x14ac:dyDescent="0.2">
      <c r="A34" s="11" t="s">
        <v>66</v>
      </c>
      <c r="B34" s="11" t="s">
        <v>67</v>
      </c>
      <c r="C34" s="11" t="s">
        <v>68</v>
      </c>
      <c r="D34" s="11" t="s">
        <v>69</v>
      </c>
    </row>
    <row r="35" spans="1:4" ht="45" customHeight="1" x14ac:dyDescent="0.2">
      <c r="A35" s="13" t="s">
        <v>70</v>
      </c>
      <c r="B35" s="28">
        <v>797400000</v>
      </c>
      <c r="C35" s="13" t="s">
        <v>71</v>
      </c>
      <c r="D35" s="13" t="s">
        <v>72</v>
      </c>
    </row>
    <row r="36" spans="1:4" ht="45" customHeight="1" x14ac:dyDescent="0.2">
      <c r="A36" s="13" t="s">
        <v>73</v>
      </c>
      <c r="B36" s="13" t="s">
        <v>37</v>
      </c>
      <c r="C36" s="13" t="s">
        <v>74</v>
      </c>
      <c r="D36" s="13" t="s">
        <v>75</v>
      </c>
    </row>
    <row r="37" spans="1:4" ht="45" customHeight="1" x14ac:dyDescent="0.2">
      <c r="A37" s="13" t="s">
        <v>76</v>
      </c>
      <c r="B37" s="13" t="s">
        <v>37</v>
      </c>
      <c r="C37" s="13" t="s">
        <v>77</v>
      </c>
      <c r="D37" s="13" t="s">
        <v>78</v>
      </c>
    </row>
  </sheetData>
  <mergeCells count="10">
    <mergeCell ref="A15:B15"/>
    <mergeCell ref="A17:H17"/>
    <mergeCell ref="A20:B20"/>
    <mergeCell ref="A23:D23"/>
    <mergeCell ref="A33:D33"/>
    <mergeCell ref="A1:H1"/>
    <mergeCell ref="A2:H2"/>
    <mergeCell ref="A5:H5"/>
    <mergeCell ref="A9:B9"/>
    <mergeCell ref="A11:H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8"/>
  <sheetViews>
    <sheetView zoomScaleNormal="100" workbookViewId="0"/>
  </sheetViews>
  <sheetFormatPr baseColWidth="10" defaultColWidth="8.6640625" defaultRowHeight="15" customHeight="1" x14ac:dyDescent="0.2"/>
  <cols>
    <col min="1" max="1" width="8" customWidth="1"/>
    <col min="2" max="2" width="30" customWidth="1"/>
    <col min="3" max="3" width="22" customWidth="1"/>
    <col min="4" max="4" width="14" customWidth="1"/>
    <col min="5" max="6" width="16" customWidth="1"/>
    <col min="7" max="7" width="42" customWidth="1"/>
    <col min="8" max="8" width="26" customWidth="1"/>
    <col min="9" max="9" width="24" customWidth="1"/>
    <col min="10" max="10" width="28" customWidth="1"/>
    <col min="11" max="11" width="38" customWidth="1"/>
  </cols>
  <sheetData>
    <row r="1" spans="1:11" ht="30" customHeight="1" x14ac:dyDescent="0.2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9.5" customHeight="1" x14ac:dyDescent="0.2">
      <c r="A2" s="9" t="s">
        <v>80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6" customHeight="1" x14ac:dyDescent="0.2">
      <c r="A4" s="11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6</v>
      </c>
      <c r="G4" s="11" t="s">
        <v>86</v>
      </c>
      <c r="H4" s="11" t="s">
        <v>87</v>
      </c>
      <c r="I4" s="11" t="s">
        <v>88</v>
      </c>
      <c r="J4" s="11" t="s">
        <v>89</v>
      </c>
      <c r="K4" s="11" t="s">
        <v>90</v>
      </c>
    </row>
    <row r="5" spans="1:11" ht="24" customHeight="1" x14ac:dyDescent="0.2">
      <c r="A5" s="4" t="s">
        <v>91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64.5" customHeight="1" x14ac:dyDescent="0.2">
      <c r="A6" s="14">
        <v>1</v>
      </c>
      <c r="B6" s="13" t="s">
        <v>92</v>
      </c>
      <c r="C6" s="13" t="s">
        <v>11</v>
      </c>
      <c r="D6" s="14" t="s">
        <v>93</v>
      </c>
      <c r="E6" s="16">
        <v>3000000</v>
      </c>
      <c r="F6" s="16">
        <v>450000</v>
      </c>
      <c r="G6" s="13" t="s">
        <v>94</v>
      </c>
      <c r="H6" s="13" t="s">
        <v>95</v>
      </c>
      <c r="I6" s="13" t="s">
        <v>96</v>
      </c>
      <c r="J6" s="13" t="s">
        <v>97</v>
      </c>
      <c r="K6" s="13" t="s">
        <v>98</v>
      </c>
    </row>
    <row r="7" spans="1:11" ht="64.5" customHeight="1" x14ac:dyDescent="0.2">
      <c r="A7" s="14">
        <v>2</v>
      </c>
      <c r="B7" s="13" t="s">
        <v>99</v>
      </c>
      <c r="C7" s="13" t="s">
        <v>11</v>
      </c>
      <c r="D7" s="14" t="s">
        <v>100</v>
      </c>
      <c r="E7" s="16">
        <v>2700000</v>
      </c>
      <c r="F7" s="17" t="s">
        <v>17</v>
      </c>
      <c r="G7" s="13" t="s">
        <v>101</v>
      </c>
      <c r="H7" s="13" t="s">
        <v>102</v>
      </c>
      <c r="I7" s="13" t="s">
        <v>103</v>
      </c>
      <c r="J7" s="13" t="s">
        <v>104</v>
      </c>
      <c r="K7" s="13" t="s">
        <v>105</v>
      </c>
    </row>
    <row r="8" spans="1:11" ht="64.5" customHeight="1" x14ac:dyDescent="0.2">
      <c r="A8" s="14">
        <v>3</v>
      </c>
      <c r="B8" s="13" t="s">
        <v>106</v>
      </c>
      <c r="C8" s="13" t="s">
        <v>107</v>
      </c>
      <c r="D8" s="14" t="s">
        <v>108</v>
      </c>
      <c r="E8" s="17" t="s">
        <v>22</v>
      </c>
      <c r="F8" s="17" t="s">
        <v>17</v>
      </c>
      <c r="G8" s="13" t="s">
        <v>109</v>
      </c>
      <c r="H8" s="13" t="s">
        <v>110</v>
      </c>
      <c r="I8" s="13" t="s">
        <v>111</v>
      </c>
      <c r="J8" s="13" t="s">
        <v>112</v>
      </c>
      <c r="K8" s="13" t="s">
        <v>113</v>
      </c>
    </row>
    <row r="9" spans="1:11" ht="64.5" customHeight="1" x14ac:dyDescent="0.2">
      <c r="A9" s="14">
        <v>4</v>
      </c>
      <c r="B9" s="13" t="s">
        <v>114</v>
      </c>
      <c r="C9" s="13" t="s">
        <v>115</v>
      </c>
      <c r="D9" s="14" t="s">
        <v>116</v>
      </c>
      <c r="E9" s="17" t="s">
        <v>22</v>
      </c>
      <c r="F9" s="17" t="s">
        <v>17</v>
      </c>
      <c r="G9" s="13" t="s">
        <v>117</v>
      </c>
      <c r="H9" s="13" t="s">
        <v>118</v>
      </c>
      <c r="I9" s="13" t="s">
        <v>119</v>
      </c>
      <c r="J9" s="13" t="s">
        <v>120</v>
      </c>
      <c r="K9" s="13" t="s">
        <v>121</v>
      </c>
    </row>
    <row r="10" spans="1:11" ht="64.5" customHeight="1" x14ac:dyDescent="0.2">
      <c r="A10" s="14">
        <v>5</v>
      </c>
      <c r="B10" s="13" t="s">
        <v>122</v>
      </c>
      <c r="C10" s="13" t="s">
        <v>15</v>
      </c>
      <c r="D10" s="14" t="s">
        <v>123</v>
      </c>
      <c r="E10" s="16">
        <v>40679250</v>
      </c>
      <c r="F10" s="17" t="s">
        <v>17</v>
      </c>
      <c r="G10" s="13" t="s">
        <v>124</v>
      </c>
      <c r="H10" s="13" t="s">
        <v>125</v>
      </c>
      <c r="I10" s="13" t="s">
        <v>126</v>
      </c>
      <c r="J10" s="13" t="s">
        <v>127</v>
      </c>
      <c r="K10" s="13" t="s">
        <v>128</v>
      </c>
    </row>
    <row r="11" spans="1:11" ht="64.5" customHeight="1" x14ac:dyDescent="0.2">
      <c r="A11" s="14">
        <v>6</v>
      </c>
      <c r="B11" s="13" t="s">
        <v>129</v>
      </c>
      <c r="C11" s="13" t="s">
        <v>11</v>
      </c>
      <c r="D11" s="14" t="s">
        <v>130</v>
      </c>
      <c r="E11" s="16">
        <v>13900000</v>
      </c>
      <c r="F11" s="17" t="s">
        <v>17</v>
      </c>
      <c r="G11" s="13" t="s">
        <v>131</v>
      </c>
      <c r="H11" s="13" t="s">
        <v>132</v>
      </c>
      <c r="I11" s="13" t="s">
        <v>133</v>
      </c>
      <c r="J11" s="13" t="s">
        <v>134</v>
      </c>
      <c r="K11" s="13" t="s">
        <v>135</v>
      </c>
    </row>
    <row r="12" spans="1:11" ht="24" customHeight="1" x14ac:dyDescent="0.2">
      <c r="A12" s="7" t="s">
        <v>136</v>
      </c>
      <c r="B12" s="7"/>
      <c r="C12" s="7"/>
      <c r="D12" s="7"/>
      <c r="E12" s="20">
        <f>SUM(E6:E11)</f>
        <v>60279250</v>
      </c>
      <c r="F12" s="21"/>
      <c r="G12" s="21"/>
      <c r="H12" s="21"/>
      <c r="I12" s="21"/>
      <c r="J12" s="21"/>
      <c r="K12" s="21"/>
    </row>
    <row r="14" spans="1:11" ht="24" customHeight="1" x14ac:dyDescent="0.2">
      <c r="A14" s="4" t="s">
        <v>137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64.5" customHeight="1" x14ac:dyDescent="0.2">
      <c r="A15" s="14">
        <v>7</v>
      </c>
      <c r="B15" s="13" t="s">
        <v>138</v>
      </c>
      <c r="C15" s="13" t="s">
        <v>139</v>
      </c>
      <c r="D15" s="14" t="s">
        <v>140</v>
      </c>
      <c r="E15" s="16">
        <v>6444229</v>
      </c>
      <c r="F15" s="17" t="s">
        <v>17</v>
      </c>
      <c r="G15" s="13" t="s">
        <v>141</v>
      </c>
      <c r="H15" s="13" t="s">
        <v>142</v>
      </c>
      <c r="I15" s="13" t="s">
        <v>143</v>
      </c>
      <c r="J15" s="13" t="s">
        <v>134</v>
      </c>
      <c r="K15" s="13" t="s">
        <v>144</v>
      </c>
    </row>
    <row r="16" spans="1:11" ht="64.5" customHeight="1" x14ac:dyDescent="0.2">
      <c r="A16" s="14">
        <v>8</v>
      </c>
      <c r="B16" s="13" t="s">
        <v>145</v>
      </c>
      <c r="C16" s="13" t="s">
        <v>139</v>
      </c>
      <c r="D16" s="14" t="s">
        <v>140</v>
      </c>
      <c r="E16" s="16">
        <v>3898657</v>
      </c>
      <c r="F16" s="17" t="s">
        <v>17</v>
      </c>
      <c r="G16" s="13" t="s">
        <v>146</v>
      </c>
      <c r="H16" s="13" t="s">
        <v>142</v>
      </c>
      <c r="I16" s="13" t="s">
        <v>147</v>
      </c>
      <c r="J16" s="13" t="s">
        <v>134</v>
      </c>
      <c r="K16" s="13" t="s">
        <v>144</v>
      </c>
    </row>
    <row r="17" spans="1:11" ht="64.5" customHeight="1" x14ac:dyDescent="0.2">
      <c r="A17" s="14">
        <v>9</v>
      </c>
      <c r="B17" s="13" t="s">
        <v>148</v>
      </c>
      <c r="C17" s="13" t="s">
        <v>149</v>
      </c>
      <c r="D17" s="14" t="s">
        <v>150</v>
      </c>
      <c r="E17" s="16">
        <v>17100000</v>
      </c>
      <c r="F17" s="16">
        <v>17100000</v>
      </c>
      <c r="G17" s="13" t="s">
        <v>151</v>
      </c>
      <c r="H17" s="13" t="s">
        <v>152</v>
      </c>
      <c r="I17" s="13" t="s">
        <v>153</v>
      </c>
      <c r="J17" s="13" t="s">
        <v>134</v>
      </c>
      <c r="K17" s="13" t="s">
        <v>154</v>
      </c>
    </row>
    <row r="18" spans="1:11" ht="64.5" customHeight="1" x14ac:dyDescent="0.2">
      <c r="A18" s="14">
        <v>10</v>
      </c>
      <c r="B18" s="13" t="s">
        <v>155</v>
      </c>
      <c r="C18" s="13" t="s">
        <v>156</v>
      </c>
      <c r="D18" s="14" t="s">
        <v>157</v>
      </c>
      <c r="E18" s="17" t="s">
        <v>22</v>
      </c>
      <c r="F18" s="17" t="s">
        <v>17</v>
      </c>
      <c r="G18" s="13" t="s">
        <v>158</v>
      </c>
      <c r="H18" s="13" t="s">
        <v>159</v>
      </c>
      <c r="I18" s="13" t="s">
        <v>160</v>
      </c>
      <c r="J18" s="13" t="s">
        <v>161</v>
      </c>
      <c r="K18" s="13" t="s">
        <v>162</v>
      </c>
    </row>
    <row r="19" spans="1:11" ht="24" customHeight="1" x14ac:dyDescent="0.2">
      <c r="A19" s="7" t="s">
        <v>163</v>
      </c>
      <c r="B19" s="7"/>
      <c r="C19" s="7"/>
      <c r="D19" s="7"/>
      <c r="E19" s="20">
        <f>SUM(E15:E18)</f>
        <v>27442886</v>
      </c>
      <c r="F19" s="21"/>
      <c r="G19" s="21"/>
      <c r="H19" s="21"/>
      <c r="I19" s="21"/>
      <c r="J19" s="21"/>
      <c r="K19" s="21"/>
    </row>
    <row r="21" spans="1:11" ht="24" customHeight="1" x14ac:dyDescent="0.2">
      <c r="A21" s="4" t="s">
        <v>164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64.5" customHeight="1" x14ac:dyDescent="0.2">
      <c r="A22" s="14">
        <v>11</v>
      </c>
      <c r="B22" s="13" t="s">
        <v>165</v>
      </c>
      <c r="C22" s="13" t="s">
        <v>11</v>
      </c>
      <c r="D22" s="14" t="s">
        <v>116</v>
      </c>
      <c r="E22" s="16">
        <v>5400000</v>
      </c>
      <c r="F22" s="17" t="s">
        <v>17</v>
      </c>
      <c r="G22" s="13" t="s">
        <v>166</v>
      </c>
      <c r="H22" s="13" t="s">
        <v>167</v>
      </c>
      <c r="I22" s="13" t="s">
        <v>168</v>
      </c>
      <c r="J22" s="13" t="s">
        <v>134</v>
      </c>
      <c r="K22" s="13" t="s">
        <v>169</v>
      </c>
    </row>
    <row r="23" spans="1:11" ht="64.5" customHeight="1" x14ac:dyDescent="0.2">
      <c r="A23" s="14">
        <v>12</v>
      </c>
      <c r="B23" s="13" t="s">
        <v>170</v>
      </c>
      <c r="C23" s="13" t="s">
        <v>139</v>
      </c>
      <c r="D23" s="14" t="s">
        <v>171</v>
      </c>
      <c r="E23" s="16">
        <v>11600000</v>
      </c>
      <c r="F23" s="16">
        <v>5700000</v>
      </c>
      <c r="G23" s="13" t="s">
        <v>172</v>
      </c>
      <c r="H23" s="13" t="s">
        <v>173</v>
      </c>
      <c r="I23" s="13" t="s">
        <v>174</v>
      </c>
      <c r="J23" s="13" t="s">
        <v>134</v>
      </c>
      <c r="K23" s="13" t="s">
        <v>175</v>
      </c>
    </row>
    <row r="24" spans="1:11" ht="24" customHeight="1" x14ac:dyDescent="0.2">
      <c r="A24" s="7" t="s">
        <v>176</v>
      </c>
      <c r="B24" s="7"/>
      <c r="C24" s="7"/>
      <c r="D24" s="7"/>
      <c r="E24" s="20">
        <f>SUM(E22:E23)</f>
        <v>17000000</v>
      </c>
      <c r="F24" s="21"/>
      <c r="G24" s="21"/>
      <c r="H24" s="21"/>
      <c r="I24" s="21"/>
      <c r="J24" s="21"/>
      <c r="K24" s="21"/>
    </row>
    <row r="26" spans="1:11" ht="27.75" customHeight="1" x14ac:dyDescent="0.2">
      <c r="A26" s="6" t="s">
        <v>177</v>
      </c>
      <c r="B26" s="6"/>
      <c r="C26" s="6"/>
      <c r="D26" s="6"/>
      <c r="E26" s="23">
        <f>E12+E19+E24</f>
        <v>104722136</v>
      </c>
      <c r="F26" s="22"/>
      <c r="G26" s="22"/>
      <c r="H26" s="22"/>
      <c r="I26" s="22"/>
      <c r="J26" s="22"/>
      <c r="K26" s="22"/>
    </row>
    <row r="28" spans="1:11" x14ac:dyDescent="0.2">
      <c r="A28" s="3" t="s">
        <v>178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A29" s="2" t="s">
        <v>179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 t="s">
        <v>180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 t="s">
        <v>181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 t="s">
        <v>182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 t="s">
        <v>183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 t="s">
        <v>184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 t="s">
        <v>185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 t="s">
        <v>186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 t="s">
        <v>187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 t="s">
        <v>188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</sheetData>
  <mergeCells count="20">
    <mergeCell ref="A34:K34"/>
    <mergeCell ref="A35:K35"/>
    <mergeCell ref="A36:K36"/>
    <mergeCell ref="A37:K37"/>
    <mergeCell ref="A38:K38"/>
    <mergeCell ref="A29:K29"/>
    <mergeCell ref="A30:K30"/>
    <mergeCell ref="A31:K31"/>
    <mergeCell ref="A32:K32"/>
    <mergeCell ref="A33:K33"/>
    <mergeCell ref="A19:D19"/>
    <mergeCell ref="A21:K21"/>
    <mergeCell ref="A24:D24"/>
    <mergeCell ref="A26:D26"/>
    <mergeCell ref="A28:K28"/>
    <mergeCell ref="A1:K1"/>
    <mergeCell ref="A2:K2"/>
    <mergeCell ref="A5:K5"/>
    <mergeCell ref="A12:D12"/>
    <mergeCell ref="A14:K1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7"/>
  <sheetViews>
    <sheetView zoomScaleNormal="100" workbookViewId="0"/>
  </sheetViews>
  <sheetFormatPr baseColWidth="10" defaultColWidth="8.6640625" defaultRowHeight="15" customHeight="1" x14ac:dyDescent="0.2"/>
  <cols>
    <col min="1" max="1" width="14" customWidth="1"/>
    <col min="2" max="2" width="45" customWidth="1"/>
    <col min="3" max="3" width="30" customWidth="1"/>
    <col min="4" max="4" width="18" customWidth="1"/>
    <col min="5" max="5" width="50" customWidth="1"/>
  </cols>
  <sheetData>
    <row r="1" spans="1:5" ht="30" customHeight="1" x14ac:dyDescent="0.2">
      <c r="A1" s="1" t="s">
        <v>189</v>
      </c>
      <c r="B1" s="1"/>
      <c r="C1" s="1"/>
      <c r="D1" s="1"/>
      <c r="E1" s="1"/>
    </row>
    <row r="3" spans="1:5" x14ac:dyDescent="0.2">
      <c r="A3" s="11" t="s">
        <v>190</v>
      </c>
      <c r="B3" s="11" t="s">
        <v>191</v>
      </c>
      <c r="C3" s="11" t="s">
        <v>192</v>
      </c>
      <c r="D3" s="11" t="s">
        <v>50</v>
      </c>
      <c r="E3" s="11" t="s">
        <v>193</v>
      </c>
    </row>
    <row r="4" spans="1:5" ht="45" customHeight="1" x14ac:dyDescent="0.2">
      <c r="A4" s="14" t="s">
        <v>194</v>
      </c>
      <c r="B4" s="13" t="s">
        <v>195</v>
      </c>
      <c r="C4" s="13" t="s">
        <v>196</v>
      </c>
      <c r="D4" s="16">
        <v>3000000</v>
      </c>
      <c r="E4" s="13" t="s">
        <v>197</v>
      </c>
    </row>
    <row r="5" spans="1:5" ht="45" customHeight="1" x14ac:dyDescent="0.2">
      <c r="A5" s="14" t="s">
        <v>198</v>
      </c>
      <c r="B5" s="13" t="s">
        <v>199</v>
      </c>
      <c r="C5" s="13" t="s">
        <v>196</v>
      </c>
      <c r="D5" s="16">
        <v>2700000</v>
      </c>
      <c r="E5" s="13" t="s">
        <v>200</v>
      </c>
    </row>
    <row r="6" spans="1:5" ht="45" customHeight="1" x14ac:dyDescent="0.2">
      <c r="A6" s="14" t="s">
        <v>201</v>
      </c>
      <c r="B6" s="13" t="s">
        <v>202</v>
      </c>
      <c r="C6" s="13" t="s">
        <v>42</v>
      </c>
      <c r="D6" s="17" t="s">
        <v>17</v>
      </c>
      <c r="E6" s="13" t="s">
        <v>203</v>
      </c>
    </row>
    <row r="7" spans="1:5" ht="45" customHeight="1" x14ac:dyDescent="0.2">
      <c r="A7" s="14" t="s">
        <v>116</v>
      </c>
      <c r="B7" s="13" t="s">
        <v>204</v>
      </c>
      <c r="C7" s="13" t="s">
        <v>205</v>
      </c>
      <c r="D7" s="17" t="s">
        <v>17</v>
      </c>
      <c r="E7" s="13" t="s">
        <v>206</v>
      </c>
    </row>
    <row r="8" spans="1:5" ht="45" customHeight="1" x14ac:dyDescent="0.2">
      <c r="A8" s="14" t="s">
        <v>116</v>
      </c>
      <c r="B8" s="13" t="s">
        <v>207</v>
      </c>
      <c r="C8" s="13" t="s">
        <v>208</v>
      </c>
      <c r="D8" s="16">
        <v>5400000</v>
      </c>
      <c r="E8" s="13" t="s">
        <v>209</v>
      </c>
    </row>
    <row r="9" spans="1:5" ht="45" customHeight="1" x14ac:dyDescent="0.2">
      <c r="A9" s="14" t="s">
        <v>210</v>
      </c>
      <c r="B9" s="13" t="s">
        <v>211</v>
      </c>
      <c r="C9" s="13" t="s">
        <v>212</v>
      </c>
      <c r="D9" s="16">
        <v>40679250</v>
      </c>
      <c r="E9" s="13" t="s">
        <v>213</v>
      </c>
    </row>
    <row r="10" spans="1:5" ht="45" customHeight="1" x14ac:dyDescent="0.2">
      <c r="A10" s="14" t="s">
        <v>210</v>
      </c>
      <c r="B10" s="13" t="s">
        <v>214</v>
      </c>
      <c r="C10" s="13" t="s">
        <v>208</v>
      </c>
      <c r="D10" s="16">
        <v>13900000</v>
      </c>
      <c r="E10" s="13" t="s">
        <v>215</v>
      </c>
    </row>
    <row r="11" spans="1:5" ht="45" customHeight="1" x14ac:dyDescent="0.2">
      <c r="A11" s="14" t="s">
        <v>216</v>
      </c>
      <c r="B11" s="13" t="s">
        <v>217</v>
      </c>
      <c r="C11" s="13" t="s">
        <v>218</v>
      </c>
      <c r="D11" s="16">
        <v>10342886</v>
      </c>
      <c r="E11" s="13" t="s">
        <v>219</v>
      </c>
    </row>
    <row r="12" spans="1:5" ht="45" customHeight="1" x14ac:dyDescent="0.2">
      <c r="A12" s="14" t="s">
        <v>220</v>
      </c>
      <c r="B12" s="13" t="s">
        <v>221</v>
      </c>
      <c r="C12" s="13" t="s">
        <v>222</v>
      </c>
      <c r="D12" s="17" t="s">
        <v>17</v>
      </c>
      <c r="E12" s="13" t="s">
        <v>223</v>
      </c>
    </row>
    <row r="13" spans="1:5" ht="45" customHeight="1" x14ac:dyDescent="0.2">
      <c r="A13" s="14" t="s">
        <v>224</v>
      </c>
      <c r="B13" s="13" t="s">
        <v>225</v>
      </c>
      <c r="C13" s="13" t="s">
        <v>226</v>
      </c>
      <c r="D13" s="17" t="s">
        <v>17</v>
      </c>
      <c r="E13" s="13" t="s">
        <v>227</v>
      </c>
    </row>
    <row r="14" spans="1:5" ht="45" customHeight="1" x14ac:dyDescent="0.2">
      <c r="A14" s="14" t="s">
        <v>228</v>
      </c>
      <c r="B14" s="13" t="s">
        <v>229</v>
      </c>
      <c r="C14" s="13" t="s">
        <v>218</v>
      </c>
      <c r="D14" s="16">
        <v>17100000</v>
      </c>
      <c r="E14" s="13" t="s">
        <v>230</v>
      </c>
    </row>
    <row r="15" spans="1:5" ht="45" customHeight="1" x14ac:dyDescent="0.2">
      <c r="A15" s="14" t="s">
        <v>231</v>
      </c>
      <c r="B15" s="13" t="s">
        <v>232</v>
      </c>
      <c r="C15" s="13" t="s">
        <v>233</v>
      </c>
      <c r="D15" s="17" t="s">
        <v>17</v>
      </c>
      <c r="E15" s="13" t="s">
        <v>234</v>
      </c>
    </row>
    <row r="16" spans="1:5" ht="45" customHeight="1" x14ac:dyDescent="0.2">
      <c r="A16" s="14" t="s">
        <v>235</v>
      </c>
      <c r="B16" s="13" t="s">
        <v>236</v>
      </c>
      <c r="C16" s="13" t="s">
        <v>226</v>
      </c>
      <c r="D16" s="17" t="s">
        <v>17</v>
      </c>
      <c r="E16" s="13" t="s">
        <v>237</v>
      </c>
    </row>
    <row r="17" spans="1:5" ht="45" customHeight="1" x14ac:dyDescent="0.2">
      <c r="A17" s="14" t="s">
        <v>238</v>
      </c>
      <c r="B17" s="13" t="s">
        <v>239</v>
      </c>
      <c r="C17" s="13" t="s">
        <v>226</v>
      </c>
      <c r="D17" s="17" t="s">
        <v>17</v>
      </c>
      <c r="E17" s="13" t="s">
        <v>240</v>
      </c>
    </row>
  </sheetData>
  <mergeCells count="1">
    <mergeCell ref="A1:E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2"/>
  <sheetViews>
    <sheetView zoomScaleNormal="100" workbookViewId="0"/>
  </sheetViews>
  <sheetFormatPr baseColWidth="10" defaultColWidth="8.6640625" defaultRowHeight="15" customHeight="1" x14ac:dyDescent="0.2"/>
  <cols>
    <col min="1" max="1" width="40" customWidth="1"/>
    <col min="2" max="2" width="65" customWidth="1"/>
    <col min="3" max="3" width="50" customWidth="1"/>
  </cols>
  <sheetData>
    <row r="1" spans="1:3" ht="30" customHeight="1" x14ac:dyDescent="0.2">
      <c r="A1" s="1" t="s">
        <v>241</v>
      </c>
      <c r="B1" s="1"/>
      <c r="C1" s="1"/>
    </row>
    <row r="3" spans="1:3" x14ac:dyDescent="0.2">
      <c r="A3" s="29" t="s">
        <v>242</v>
      </c>
      <c r="B3" s="29" t="s">
        <v>243</v>
      </c>
      <c r="C3" s="29" t="s">
        <v>52</v>
      </c>
    </row>
    <row r="4" spans="1:3" ht="30" customHeight="1" x14ac:dyDescent="0.2">
      <c r="A4" s="13" t="s">
        <v>244</v>
      </c>
      <c r="B4" s="30" t="s">
        <v>245</v>
      </c>
      <c r="C4" s="13" t="s">
        <v>246</v>
      </c>
    </row>
    <row r="5" spans="1:3" ht="30" customHeight="1" x14ac:dyDescent="0.2">
      <c r="A5" s="13" t="s">
        <v>247</v>
      </c>
      <c r="B5" s="30" t="s">
        <v>248</v>
      </c>
      <c r="C5" s="13" t="s">
        <v>249</v>
      </c>
    </row>
    <row r="6" spans="1:3" ht="30" customHeight="1" x14ac:dyDescent="0.2">
      <c r="A6" s="13" t="s">
        <v>250</v>
      </c>
      <c r="B6" s="30" t="s">
        <v>251</v>
      </c>
      <c r="C6" s="13" t="s">
        <v>252</v>
      </c>
    </row>
    <row r="7" spans="1:3" ht="30" customHeight="1" x14ac:dyDescent="0.2">
      <c r="A7" s="13" t="s">
        <v>253</v>
      </c>
      <c r="B7" s="30" t="s">
        <v>254</v>
      </c>
      <c r="C7" s="13" t="s">
        <v>255</v>
      </c>
    </row>
    <row r="8" spans="1:3" ht="30" customHeight="1" x14ac:dyDescent="0.2">
      <c r="A8" s="13" t="s">
        <v>256</v>
      </c>
      <c r="B8" s="30" t="s">
        <v>257</v>
      </c>
      <c r="C8" s="13" t="s">
        <v>258</v>
      </c>
    </row>
    <row r="9" spans="1:3" ht="30" customHeight="1" x14ac:dyDescent="0.2">
      <c r="A9" s="13" t="s">
        <v>259</v>
      </c>
      <c r="B9" s="30" t="s">
        <v>260</v>
      </c>
      <c r="C9" s="13" t="s">
        <v>261</v>
      </c>
    </row>
    <row r="10" spans="1:3" ht="30" customHeight="1" x14ac:dyDescent="0.2">
      <c r="A10" s="13" t="s">
        <v>262</v>
      </c>
      <c r="B10" s="30" t="s">
        <v>263</v>
      </c>
      <c r="C10" s="13" t="s">
        <v>264</v>
      </c>
    </row>
    <row r="11" spans="1:3" ht="30" customHeight="1" x14ac:dyDescent="0.2">
      <c r="A11" s="13" t="s">
        <v>265</v>
      </c>
      <c r="B11" s="30" t="s">
        <v>266</v>
      </c>
      <c r="C11" s="13" t="s">
        <v>267</v>
      </c>
    </row>
    <row r="12" spans="1:3" ht="30" customHeight="1" x14ac:dyDescent="0.2">
      <c r="A12" s="13" t="s">
        <v>268</v>
      </c>
      <c r="B12" s="30" t="s">
        <v>269</v>
      </c>
      <c r="C12" s="13" t="s">
        <v>270</v>
      </c>
    </row>
    <row r="13" spans="1:3" ht="30" customHeight="1" x14ac:dyDescent="0.2">
      <c r="A13" s="13" t="s">
        <v>271</v>
      </c>
      <c r="B13" s="30" t="s">
        <v>272</v>
      </c>
      <c r="C13" s="13" t="s">
        <v>273</v>
      </c>
    </row>
    <row r="14" spans="1:3" ht="30" customHeight="1" x14ac:dyDescent="0.2">
      <c r="A14" s="13" t="s">
        <v>274</v>
      </c>
      <c r="B14" s="30" t="s">
        <v>275</v>
      </c>
      <c r="C14" s="13" t="s">
        <v>276</v>
      </c>
    </row>
    <row r="15" spans="1:3" ht="30" customHeight="1" x14ac:dyDescent="0.2">
      <c r="A15" s="13" t="s">
        <v>277</v>
      </c>
      <c r="B15" s="30" t="s">
        <v>278</v>
      </c>
      <c r="C15" s="13" t="s">
        <v>279</v>
      </c>
    </row>
    <row r="16" spans="1:3" ht="30" customHeight="1" x14ac:dyDescent="0.2">
      <c r="A16" s="13" t="s">
        <v>280</v>
      </c>
      <c r="B16" s="30" t="s">
        <v>281</v>
      </c>
      <c r="C16" s="13" t="s">
        <v>282</v>
      </c>
    </row>
    <row r="17" spans="1:3" ht="30" customHeight="1" x14ac:dyDescent="0.2">
      <c r="A17" s="13" t="s">
        <v>283</v>
      </c>
      <c r="B17" s="30" t="s">
        <v>284</v>
      </c>
      <c r="C17" s="13" t="s">
        <v>285</v>
      </c>
    </row>
    <row r="18" spans="1:3" ht="30" customHeight="1" x14ac:dyDescent="0.2">
      <c r="A18" s="13" t="s">
        <v>286</v>
      </c>
      <c r="B18" s="30" t="s">
        <v>287</v>
      </c>
      <c r="C18" s="13" t="s">
        <v>288</v>
      </c>
    </row>
    <row r="19" spans="1:3" ht="30" customHeight="1" x14ac:dyDescent="0.2">
      <c r="A19" s="13" t="s">
        <v>289</v>
      </c>
      <c r="B19" s="30" t="s">
        <v>290</v>
      </c>
      <c r="C19" s="13" t="s">
        <v>291</v>
      </c>
    </row>
    <row r="20" spans="1:3" ht="30" customHeight="1" x14ac:dyDescent="0.2">
      <c r="A20" s="13" t="s">
        <v>292</v>
      </c>
      <c r="B20" s="30" t="s">
        <v>293</v>
      </c>
      <c r="C20" s="13" t="s">
        <v>294</v>
      </c>
    </row>
    <row r="21" spans="1:3" ht="30" customHeight="1" x14ac:dyDescent="0.2">
      <c r="A21" s="13" t="s">
        <v>295</v>
      </c>
      <c r="B21" s="30" t="s">
        <v>296</v>
      </c>
      <c r="C21" s="13" t="s">
        <v>297</v>
      </c>
    </row>
    <row r="22" spans="1:3" ht="30" customHeight="1" x14ac:dyDescent="0.2">
      <c r="A22" s="13" t="s">
        <v>298</v>
      </c>
      <c r="B22" s="30" t="s">
        <v>299</v>
      </c>
      <c r="C22" s="13" t="s">
        <v>300</v>
      </c>
    </row>
  </sheetData>
  <mergeCells count="1">
    <mergeCell ref="A1:C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Agency Summary</vt:lpstr>
      <vt:lpstr>Grant Summary</vt:lpstr>
      <vt:lpstr>Timeline &amp; Milestones</vt:lpstr>
      <vt:lpstr>Sources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Curtis</cp:lastModifiedBy>
  <cp:revision>0</cp:revision>
  <dcterms:created xsi:type="dcterms:W3CDTF">2026-03-11T20:03:50Z</dcterms:created>
  <dcterms:modified xsi:type="dcterms:W3CDTF">2026-03-11T20:14:10Z</dcterms:modified>
  <dc:language>en-US</dc:language>
</cp:coreProperties>
</file>